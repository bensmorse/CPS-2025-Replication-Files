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BenMorse\Dropbox\1. Research\CP_Liberia\Data\liberia\08_CPS_Replication\02_Survey Instruments\"/>
    </mc:Choice>
  </mc:AlternateContent>
  <xr:revisionPtr revIDLastSave="0" documentId="13_ncr:1_{F4BDEAF1-A53F-4759-ACA1-A7D14021E273}" xr6:coauthVersionLast="47" xr6:coauthVersionMax="47" xr10:uidLastSave="{00000000-0000-0000-0000-000000000000}"/>
  <bookViews>
    <workbookView xWindow="28680" yWindow="-120" windowWidth="29040" windowHeight="15840" tabRatio="499" xr2:uid="{00000000-000D-0000-FFFF-FFFF00000000}"/>
  </bookViews>
  <sheets>
    <sheet name="survey" sheetId="1" r:id="rId1"/>
    <sheet name="choices" sheetId="2" r:id="rId2"/>
    <sheet name="settings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<sst xmlns="http://schemas.openxmlformats.org/spreadsheetml/2006/main" count="291" uniqueCount="196">
  <si>
    <t>type</t>
  </si>
  <si>
    <t>name</t>
  </si>
  <si>
    <t>default</t>
    <phoneticPr fontId="1" type="noConversion"/>
  </si>
  <si>
    <t>media:image</t>
    <phoneticPr fontId="1" type="noConversion"/>
  </si>
  <si>
    <t>hint</t>
    <phoneticPr fontId="1" type="noConversion"/>
  </si>
  <si>
    <t>appearance</t>
    <phoneticPr fontId="1" type="noConversion"/>
  </si>
  <si>
    <t>constraint</t>
    <phoneticPr fontId="1" type="noConversion"/>
  </si>
  <si>
    <t>relevance</t>
    <phoneticPr fontId="1" type="noConversion"/>
  </si>
  <si>
    <t>required</t>
    <phoneticPr fontId="1" type="noConversion"/>
  </si>
  <si>
    <t>read only</t>
    <phoneticPr fontId="1" type="noConversion"/>
  </si>
  <si>
    <t>media:audio</t>
    <phoneticPr fontId="1" type="noConversion"/>
  </si>
  <si>
    <t>media:video</t>
    <phoneticPr fontId="1" type="noConversion"/>
  </si>
  <si>
    <t>calculation</t>
    <phoneticPr fontId="1" type="noConversion"/>
  </si>
  <si>
    <t>disabled</t>
    <phoneticPr fontId="1" type="noConversion"/>
  </si>
  <si>
    <t>starttime</t>
  </si>
  <si>
    <t>endtime</t>
  </si>
  <si>
    <t>devicephonenum</t>
  </si>
  <si>
    <t>form_title</t>
  </si>
  <si>
    <t>form_id</t>
  </si>
  <si>
    <t>public_key</t>
  </si>
  <si>
    <t>submission_url</t>
  </si>
  <si>
    <t>version</t>
  </si>
  <si>
    <t>label</t>
  </si>
  <si>
    <t>list_name</t>
  </si>
  <si>
    <t>image</t>
  </si>
  <si>
    <t>default_language</t>
  </si>
  <si>
    <t>english</t>
  </si>
  <si>
    <t>yesno</t>
  </si>
  <si>
    <t>Yes</t>
  </si>
  <si>
    <t>No</t>
  </si>
  <si>
    <t>start</t>
  </si>
  <si>
    <t>end</t>
  </si>
  <si>
    <t>deviceid</t>
  </si>
  <si>
    <t>subscriberid</t>
  </si>
  <si>
    <t>phonenumber</t>
  </si>
  <si>
    <t>simserial</t>
  </si>
  <si>
    <t>repeat_count</t>
  </si>
  <si>
    <t>required message</t>
  </si>
  <si>
    <t>constraint message</t>
  </si>
  <si>
    <t>note</t>
  </si>
  <si>
    <t>intronote</t>
  </si>
  <si>
    <t>simid</t>
  </si>
  <si>
    <t>select_one yesno</t>
  </si>
  <si>
    <t>text</t>
  </si>
  <si>
    <t>integer</t>
  </si>
  <si>
    <t>response_note</t>
  </si>
  <si>
    <t>geopoint</t>
  </si>
  <si>
    <t>publishable</t>
  </si>
  <si>
    <t>minimum_seconds</t>
  </si>
  <si>
    <t>value</t>
  </si>
  <si>
    <t>enumerator</t>
  </si>
  <si>
    <t/>
  </si>
  <si>
    <t>select_one enumerators</t>
  </si>
  <si>
    <t>enumerators</t>
  </si>
  <si>
    <t>88-Other</t>
  </si>
  <si>
    <t>select_one gender</t>
  </si>
  <si>
    <t>gender</t>
  </si>
  <si>
    <t>accuracy_threshold</t>
  </si>
  <si>
    <t>Do not know</t>
  </si>
  <si>
    <t>Female</t>
  </si>
  <si>
    <t>Male</t>
  </si>
  <si>
    <t>10-Boye Pewu</t>
  </si>
  <si>
    <t>11-Zayzay Kolubah</t>
  </si>
  <si>
    <t>13-Marcus Sougbay</t>
  </si>
  <si>
    <t>15-Morlu Kpalie</t>
  </si>
  <si>
    <t>police_zone</t>
  </si>
  <si>
    <t>select_one zones</t>
  </si>
  <si>
    <t>zones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</si>
  <si>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</si>
  <si>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</si>
  <si>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</si>
  <si>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</si>
  <si>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</si>
  <si>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</si>
  <si>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</si>
  <si>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</si>
  <si>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</si>
  <si>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Zone 10</t>
  </si>
  <si>
    <t>depot</t>
  </si>
  <si>
    <t>select_one depot</t>
  </si>
  <si>
    <t>Depot 1</t>
  </si>
  <si>
    <t>Depot 2</t>
  </si>
  <si>
    <t>Depot 3</t>
  </si>
  <si>
    <t>Depot 4</t>
  </si>
  <si>
    <t>Depot 5</t>
  </si>
  <si>
    <t>32-Prince Williams</t>
  </si>
  <si>
    <t>You are about to begin the MOB VIOLENCE SURVEY. If this is correct, click next to continue.</t>
  </si>
  <si>
    <t>Select your name</t>
  </si>
  <si>
    <t>Select police zone</t>
  </si>
  <si>
    <t>Select depot</t>
  </si>
  <si>
    <t>MobViolenceSurvey</t>
  </si>
  <si>
    <t>incident_month</t>
  </si>
  <si>
    <t>In what month did this incident occur?</t>
  </si>
  <si>
    <t>incident_year</t>
  </si>
  <si>
    <t>incident_town</t>
  </si>
  <si>
    <t>In what community did this incident occur?</t>
  </si>
  <si>
    <t>incident_town_des</t>
  </si>
  <si>
    <t>Please provide any additional information that is known about where this incident occurred (e.g. block, intersection, market, verbal description of location)</t>
  </si>
  <si>
    <t>num_victims</t>
  </si>
  <si>
    <t>How many victims were involved in this incident?</t>
  </si>
  <si>
    <t>victim_live_in_town</t>
  </si>
  <si>
    <t>victim_reside_town</t>
  </si>
  <si>
    <t>victim_age</t>
  </si>
  <si>
    <t>victim_gender</t>
  </si>
  <si>
    <t>victim_occupation</t>
  </si>
  <si>
    <t>victim_criminal</t>
  </si>
  <si>
    <t>victims_criminal</t>
  </si>
  <si>
    <t>victims_reside_in_town</t>
  </si>
  <si>
    <t>victims_oldest_age</t>
  </si>
  <si>
    <t>victims_youngest_age</t>
  </si>
  <si>
    <t>victims_occupations</t>
  </si>
  <si>
    <t>incident_des_events_before</t>
  </si>
  <si>
    <t>incident_des</t>
  </si>
  <si>
    <t>Who is believed to have perpetrated this attack/mob violence/flogging?</t>
  </si>
  <si>
    <t>police_learn</t>
  </si>
  <si>
    <t>How did this incident come to the attention of the police?</t>
  </si>
  <si>
    <t>victim_injuries</t>
  </si>
  <si>
    <t>victim_charged</t>
  </si>
  <si>
    <t>Was the victim charged with a crime?</t>
  </si>
  <si>
    <t>incident_outcome</t>
  </si>
  <si>
    <t>What was the outcome of this incident for the victim? (e.g. charged with a crime, released without charge, etc)</t>
  </si>
  <si>
    <t>police_action_perpetrators</t>
  </si>
  <si>
    <t>Did the police conduct any follow-up with the alleged perpetrators of this incident? If yes, describe</t>
  </si>
  <si>
    <t>police_action_other</t>
  </si>
  <si>
    <t>Was there any other police action taken in response to this incident? If yes, describe</t>
  </si>
  <si>
    <t>police_records</t>
  </si>
  <si>
    <t>Are there any records pertaining to this incident at the police station? (e.g. occurrences in the occurrence book, case files, hospitcal records, etc.)</t>
  </si>
  <si>
    <t>[IF YES]: Please take a photo of each page. (You may take up to 10 photos).</t>
  </si>
  <si>
    <t>police_records_p1</t>
  </si>
  <si>
    <t>[IF YES]: Photo 1</t>
  </si>
  <si>
    <t>police_records_p2</t>
  </si>
  <si>
    <t>police_records_p3</t>
  </si>
  <si>
    <t>police_records_p4</t>
  </si>
  <si>
    <t>police_records_p5</t>
  </si>
  <si>
    <t>police_records_p6</t>
  </si>
  <si>
    <t>police_records_p7</t>
  </si>
  <si>
    <t>police_records_p8</t>
  </si>
  <si>
    <t>police_records_p9</t>
  </si>
  <si>
    <t>police_records_p10</t>
  </si>
  <si>
    <t>other_info</t>
  </si>
  <si>
    <t>Please provide any other information you want to share about the incident</t>
  </si>
  <si>
    <t>12-Suahkollie</t>
  </si>
  <si>
    <t>14-Suah Baipu</t>
  </si>
  <si>
    <t>Not applicable</t>
  </si>
  <si>
    <t>months</t>
  </si>
  <si>
    <t>years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</si>
  <si>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</si>
  <si>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</si>
  <si>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</si>
  <si>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</si>
  <si>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</si>
  <si>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</si>
  <si>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</si>
  <si>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</si>
  <si>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</si>
  <si>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</si>
  <si>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</si>
  <si>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</si>
  <si>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In what year did this incident occur? </t>
  </si>
  <si>
    <t>Select approximate location of the incident on the map</t>
  </si>
  <si>
    <t>incident_location</t>
  </si>
  <si>
    <t>placement-map</t>
  </si>
  <si>
    <t>${num_victims} = 1</t>
  </si>
  <si>
    <t>${num_victims} &gt; 1</t>
  </si>
  <si>
    <t>perpetrators_who</t>
  </si>
  <si>
    <t>Did the incident occur at night?</t>
  </si>
  <si>
    <t>incident_night</t>
  </si>
  <si>
    <t>[IF YES]: Photo 2 (Skip if Not available or not applicable)</t>
  </si>
  <si>
    <t>[IF YES]: Photo 3 (Skip if Not available or not applicable)</t>
  </si>
  <si>
    <t>[IF YES]: Photo 4 (Skip if Not available or not applicable)</t>
  </si>
  <si>
    <t>[IF YES]: Photo 5 (Skip if Not available or not applicable)</t>
  </si>
  <si>
    <t>[IF YES]: Photo 6 (Skip if Not available or not applicable)</t>
  </si>
  <si>
    <t>[IF YES]: Photo 7 (Skip if Not available or not applicable)</t>
  </si>
  <si>
    <t>[IF YES]: Photo 8 (Skip if Not available or not applicable)</t>
  </si>
  <si>
    <t>[IF YES]: Photo 9 (Skip if Not available or not applicable)</t>
  </si>
  <si>
    <t>[IF YES]: Photo 10 (Skip if Not available or not applicable)</t>
  </si>
  <si>
    <t>police_records_note</t>
  </si>
  <si>
    <t>mobviolencesurvey</t>
  </si>
  <si>
    <t>Zone base</t>
  </si>
  <si>
    <t>select_one months</t>
  </si>
  <si>
    <t>select_one years</t>
  </si>
  <si>
    <t>Did the victim live in the community in which the incident occurred?</t>
  </si>
  <si>
    <t>Where was the victim's place of residence? [Provide as much detail as is known. In unknown, put "Unknown"]</t>
  </si>
  <si>
    <t>What was the victim's gender?</t>
  </si>
  <si>
    <t>What was the victim's occupation?</t>
  </si>
  <si>
    <t>Was the victim a known criminal?</t>
  </si>
  <si>
    <t>Were any of the victims from the community in which the incident occurred?</t>
  </si>
  <si>
    <t>About how old was the oldest victim?</t>
  </si>
  <si>
    <t>About how old was the youngest victim?</t>
  </si>
  <si>
    <t>What were the victims' occupations, if any?</t>
  </si>
  <si>
    <t>About how old was the victim?</t>
  </si>
  <si>
    <t>Were any of the victims known criminals?</t>
  </si>
  <si>
    <t>Describe the event's leading up to the incident (e.g. the crime that is alleged to occur)</t>
  </si>
  <si>
    <t>Describe the incident itself, including any flogging or mob violence that occurred:</t>
  </si>
  <si>
    <t>Describe the victim(s) injuries</t>
  </si>
  <si>
    <t>${police_records}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</si>
</sst>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indexed="8"/>
      <name val="Calibri"/>
      <family val="2"/>
    </font>
    <font>
      <sz val="8"/>
      <name val="Verdana"/>
      <family val="2"/>
    </font>
    <font>
      <u/>
      <sz val="12"/>
      <color indexed="12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  <charset val="129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theme="11"/>
      <name val="Calibri"/>
      <family val="2"/>
    </font>
    <font>
      <sz val="10"/>
      <name val="Verdana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2"/>
      <name val="Calibri"/>
      <family val="2"/>
      <scheme val="minor"/>
    </font>
    <font>
      <sz val="12"/>
      <color rgb="FF333333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  <xf numFmtId="0" fontId="10" fillId="0" borderId="0"/>
    <xf numFmtId="0" fontId="11" fillId="0" borderId="0"/>
  </cellStyleXfs>
  <cellXfs count="21">
    <xf numFmtId="0" fontId="0" fillId="0" borderId="0" xfId="0"/>
    <xf numFmtId="0" fontId="3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6" fillId="2" borderId="1" xfId="0" applyFont="1" applyFill="1" applyBorder="1"/>
    <xf numFmtId="49" fontId="6" fillId="2" borderId="1" xfId="0" applyNumberFormat="1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5" fillId="0" borderId="1" xfId="0" applyFont="1" applyBorder="1"/>
    <xf numFmtId="49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2" borderId="2" xfId="0" applyFont="1" applyFill="1" applyBorder="1"/>
    <xf numFmtId="49" fontId="6" fillId="2" borderId="2" xfId="0" applyNumberFormat="1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3" fillId="0" borderId="2" xfId="0" applyFont="1" applyBorder="1"/>
    <xf numFmtId="0" fontId="0" fillId="0" borderId="2" xfId="0" applyBorder="1"/>
    <xf numFmtId="0" fontId="4" fillId="0" borderId="2" xfId="2" applyBorder="1"/>
    <xf numFmtId="0" fontId="2" fillId="0" borderId="2" xfId="1" applyBorder="1" applyAlignment="1" applyProtection="1"/>
    <xf numFmtId="0" fontId="12" fillId="0" borderId="3" xfId="0" applyFont="1" applyBorder="1" applyAlignment="1">
      <alignment wrapText="1"/>
    </xf>
    <xf numFmtId="0" fontId="13" fillId="0" borderId="0" xfId="0" applyFont="1"/>
  </cellXfs>
  <cellStyles count="18">
    <cellStyle name="Excel Built-in Normal" xfId="15" xr:uid="{00000000-0005-0000-0000-000000000000}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Hyperlink" xfId="1" builtinId="8"/>
    <cellStyle name="Normal" xfId="0" builtinId="0"/>
    <cellStyle name="Normal 2" xfId="2" xr:uid="{00000000-0005-0000-0000-00000F000000}"/>
    <cellStyle name="Normal 2 2" xfId="16" xr:uid="{00000000-0005-0000-0000-000010000000}"/>
    <cellStyle name="Normal 3" xfId="17" xr:uid="{00000000-0005-0000-0000-000011000000}"/>
  </cellStyles>
  <dxfs count="78">
    <dxf>
      <font>
        <color auto="1"/>
      </font>
      <fill>
        <patternFill patternType="none">
          <fgColor indexed="64"/>
          <bgColor auto="1"/>
        </patternFill>
      </fill>
      <border>
        <top style="thin">
          <color auto="1"/>
        </top>
      </border>
    </dxf>
    <dxf>
      <font>
        <color auto="1"/>
      </font>
      <fill>
        <patternFill patternType="none">
          <fgColor indexed="64"/>
          <bgColor auto="1"/>
        </patternFill>
      </fill>
      <border>
        <top style="thin">
          <color auto="1"/>
        </top>
      </border>
    </dxf>
    <dxf>
      <font>
        <color auto="1"/>
      </font>
      <fill>
        <patternFill patternType="none">
          <fgColor indexed="64"/>
          <bgColor auto="1"/>
        </patternFill>
      </fill>
      <border>
        <top style="thin">
          <color auto="1"/>
        </top>
      </border>
    </dxf>
    <dxf>
      <font>
        <color auto="1"/>
      </font>
      <fill>
        <patternFill patternType="none">
          <fgColor indexed="64"/>
          <bgColor auto="1"/>
        </patternFill>
      </fill>
      <border>
        <top style="thin">
          <color auto="1"/>
        </top>
      </border>
    </dxf>
    <dxf>
      <font>
        <color auto="1"/>
      </font>
      <fill>
        <patternFill patternType="none">
          <fgColor indexed="64"/>
          <bgColor auto="1"/>
        </patternFill>
      </fill>
      <border>
        <top style="thin">
          <color auto="1"/>
        </top>
      </border>
    </dxf>
    <dxf>
      <font>
        <color auto="1"/>
      </font>
      <fill>
        <patternFill patternType="none">
          <fgColor indexed="64"/>
          <bgColor auto="1"/>
        </patternFill>
      </fill>
      <border>
        <top style="thin">
          <color auto="1"/>
        </top>
      </border>
    </dxf>
    <dxf>
      <font>
        <color auto="1"/>
      </font>
      <fill>
        <patternFill patternType="none">
          <fgColor indexed="64"/>
          <bgColor auto="1"/>
        </patternFill>
      </fill>
      <border>
        <top style="thin">
          <color auto="1"/>
        </top>
      </border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 patternType="solid">
          <fgColor indexed="64"/>
          <bgColor rgb="FFE7D480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>
          <bgColor rgb="FF4685D2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indexed="64"/>
          <bgColor rgb="FFDCC97A"/>
        </patternFill>
      </fill>
    </dxf>
    <dxf>
      <fill>
        <patternFill patternType="solid">
          <fgColor indexed="64"/>
          <bgColor rgb="FFE4E300"/>
        </patternFill>
      </fill>
    </dxf>
    <dxf>
      <fill>
        <patternFill>
          <bgColor theme="7" tint="0.39994506668294322"/>
        </patternFill>
      </fill>
    </dxf>
    <dxf>
      <fill>
        <patternFill>
          <bgColor rgb="FFE1AAA9"/>
        </patternFill>
      </fill>
    </dxf>
    <dxf>
      <fill>
        <patternFill patternType="solid">
          <fgColor indexed="64"/>
          <bgColor rgb="FF9E004F"/>
        </patternFill>
      </fill>
    </dxf>
    <dxf>
      <fill>
        <patternFill patternType="solid">
          <fgColor indexed="64"/>
          <bgColor rgb="FFBA005D"/>
        </patternFill>
      </fill>
    </dxf>
    <dxf>
      <fill>
        <patternFill>
          <bgColor rgb="FFF2DBDA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indexed="64"/>
          <bgColor rgb="FFFBFB00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 patternType="solid">
          <fgColor indexed="64"/>
          <bgColor rgb="FFE7D480"/>
        </patternFill>
      </fill>
    </dxf>
    <dxf>
      <fill>
        <patternFill>
          <bgColor rgb="FFFF6969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rgb="FF99BCE7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BB57"/>
        </patternFill>
      </fill>
    </dxf>
    <dxf>
      <fill>
        <patternFill>
          <bgColor rgb="FFFFD44B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 patternType="solid">
          <fgColor indexed="64"/>
          <bgColor rgb="FFE7D480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 patternType="solid">
          <fgColor indexed="64"/>
          <bgColor rgb="FFE7D480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>
          <bgColor rgb="FF4685D2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indexed="64"/>
          <bgColor rgb="FFDCC97A"/>
        </patternFill>
      </fill>
    </dxf>
    <dxf>
      <fill>
        <patternFill patternType="solid">
          <fgColor indexed="64"/>
          <bgColor rgb="FFE4E300"/>
        </patternFill>
      </fill>
    </dxf>
    <dxf>
      <fill>
        <patternFill>
          <bgColor theme="7" tint="0.39994506668294322"/>
        </patternFill>
      </fill>
    </dxf>
    <dxf>
      <fill>
        <patternFill>
          <bgColor rgb="FFE1AAA9"/>
        </patternFill>
      </fill>
    </dxf>
    <dxf>
      <fill>
        <patternFill patternType="solid">
          <fgColor indexed="64"/>
          <bgColor rgb="FF9E004F"/>
        </patternFill>
      </fill>
    </dxf>
    <dxf>
      <fill>
        <patternFill patternType="solid">
          <fgColor indexed="64"/>
          <bgColor rgb="FFBA005D"/>
        </patternFill>
      </fill>
    </dxf>
    <dxf>
      <fill>
        <patternFill>
          <bgColor rgb="FFF2DBDA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indexed="64"/>
          <bgColor rgb="FFFBFB00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 patternType="solid">
          <fgColor indexed="64"/>
          <bgColor rgb="FFE7D480"/>
        </patternFill>
      </fill>
    </dxf>
    <dxf>
      <fill>
        <patternFill>
          <bgColor rgb="FFFF6969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rgb="FF99BCE7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BB57"/>
        </patternFill>
      </fill>
    </dxf>
    <dxf>
      <fill>
        <patternFill>
          <bgColor rgb="FFFFD44B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B1A0C7"/>
      <color rgb="FFE0A5A4"/>
      <color rgb="FFC2514E"/>
      <color rgb="FFE6B9B8"/>
      <color rgb="FFCC706E"/>
      <color rgb="FFFFB3CC"/>
      <color rgb="FFFF6D9E"/>
      <color rgb="FFF2DBDA"/>
      <color rgb="FFE1AA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topLeftCell="B1" zoomScaleNormal="100" workbookViewId="0">
      <pane ySplit="1" topLeftCell="A2" activePane="bottomLeft" state="frozen"/>
      <selection pane="bottomLeft" activeCell="C13" sqref="C13"/>
    </sheetView>
  </sheetViews>
  <sheetFormatPr defaultColWidth="11" defaultRowHeight="15.5"/>
  <cols>
    <col min="1" max="1" width="24.5" style="9" customWidth="1"/>
    <col min="2" max="2" width="28.33203125" style="9" customWidth="1"/>
    <col min="3" max="3" width="94.08203125" style="10" customWidth="1"/>
    <col min="4" max="4" width="13.83203125" style="9" customWidth="1"/>
    <col min="5" max="5" width="7.08203125" style="9" bestFit="1" customWidth="1"/>
    <col min="6" max="6" width="34.58203125" style="9" customWidth="1"/>
    <col min="7" max="7" width="17.08203125" style="9" customWidth="1"/>
    <col min="8" max="8" width="17" style="11" bestFit="1" customWidth="1"/>
    <col min="9" max="9" width="17.33203125" style="9" customWidth="1"/>
    <col min="10" max="10" width="8.08203125" style="9" bestFit="1" customWidth="1"/>
    <col min="11" max="11" width="8.33203125" style="9" bestFit="1" customWidth="1"/>
    <col min="12" max="12" width="18" style="9" customWidth="1"/>
    <col min="13" max="13" width="9.08203125" style="9" bestFit="1" customWidth="1"/>
    <col min="14" max="14" width="18.33203125" style="9" customWidth="1"/>
    <col min="15" max="15" width="13.08203125" style="9" customWidth="1"/>
    <col min="16" max="16" width="12" style="9" bestFit="1" customWidth="1"/>
    <col min="17" max="17" width="11.58203125" style="9" bestFit="1" customWidth="1"/>
    <col min="18" max="18" width="11.5" style="9" bestFit="1" customWidth="1"/>
    <col min="19" max="20" width="48" style="9" customWidth="1"/>
    <col min="21" max="21" width="10.83203125" style="9" bestFit="1" customWidth="1"/>
    <col min="22" max="22" width="17" style="9" bestFit="1" customWidth="1"/>
    <col min="23" max="16384" width="11" style="2"/>
  </cols>
  <sheetData>
    <row r="1" spans="1:23" s="3" customFormat="1" ht="18" customHeight="1">
      <c r="A1" s="5" t="s">
        <v>0</v>
      </c>
      <c r="B1" s="5" t="s">
        <v>1</v>
      </c>
      <c r="C1" s="6" t="s">
        <v>22</v>
      </c>
      <c r="D1" s="5" t="s">
        <v>4</v>
      </c>
      <c r="E1" s="5" t="s">
        <v>2</v>
      </c>
      <c r="F1" s="7" t="s">
        <v>5</v>
      </c>
      <c r="G1" s="5" t="s">
        <v>6</v>
      </c>
      <c r="H1" s="8" t="s">
        <v>38</v>
      </c>
      <c r="I1" s="5" t="s">
        <v>7</v>
      </c>
      <c r="J1" s="5" t="s">
        <v>13</v>
      </c>
      <c r="K1" s="5" t="s">
        <v>8</v>
      </c>
      <c r="L1" s="5" t="s">
        <v>37</v>
      </c>
      <c r="M1" s="5" t="s">
        <v>9</v>
      </c>
      <c r="N1" s="5" t="s">
        <v>12</v>
      </c>
      <c r="O1" s="5" t="s">
        <v>36</v>
      </c>
      <c r="P1" s="5" t="s">
        <v>3</v>
      </c>
      <c r="Q1" s="5" t="s">
        <v>10</v>
      </c>
      <c r="R1" s="5" t="s">
        <v>11</v>
      </c>
      <c r="S1" s="5" t="s">
        <v>39</v>
      </c>
      <c r="T1" s="5" t="s">
        <v>45</v>
      </c>
      <c r="U1" s="5" t="s">
        <v>47</v>
      </c>
      <c r="V1" s="5" t="s">
        <v>48</v>
      </c>
      <c r="W1" s="3" t="s">
        <v>57</v>
      </c>
    </row>
    <row r="2" spans="1:23">
      <c r="A2" s="9" t="s">
        <v>30</v>
      </c>
      <c r="B2" s="9" t="s">
        <v>14</v>
      </c>
      <c r="I2" s="11"/>
      <c r="J2" s="11"/>
    </row>
    <row r="3" spans="1:23">
      <c r="A3" s="9" t="s">
        <v>31</v>
      </c>
      <c r="B3" s="9" t="s">
        <v>15</v>
      </c>
    </row>
    <row r="4" spans="1:23">
      <c r="A4" s="9" t="s">
        <v>32</v>
      </c>
      <c r="B4" s="9" t="s">
        <v>32</v>
      </c>
    </row>
    <row r="5" spans="1:23">
      <c r="A5" s="9" t="s">
        <v>33</v>
      </c>
      <c r="B5" s="9" t="s">
        <v>33</v>
      </c>
    </row>
    <row r="6" spans="1:23">
      <c r="A6" s="9" t="s">
        <v>35</v>
      </c>
      <c r="B6" s="9" t="s">
        <v>41</v>
      </c>
    </row>
    <row r="7" spans="1:23">
      <c r="A7" s="9" t="s">
        <v>34</v>
      </c>
      <c r="B7" s="9" t="s">
        <v>16</v>
      </c>
    </row>
    <row r="9" spans="1:23">
      <c r="A9" s="9" t="s">
        <v>39</v>
      </c>
      <c r="B9" s="9" t="s">
        <v>40</v>
      </c>
      <c r="C9" t="s">
        <v>86</v>
      </c>
    </row>
    <row r="11" spans="1:23">
      <c r="A11" s="9" t="s">
        <v>52</v>
      </c>
      <c r="B11" s="9" t="s">
        <v>50</v>
      </c>
      <c r="C11" t="s">
        <v>87</v>
      </c>
      <c r="I11" s="9" t="s">
        <v>51</v>
      </c>
      <c r="J11" s="9" t="s">
        <v>51</v>
      </c>
    </row>
    <row r="12" spans="1:23">
      <c r="A12" s="9" t="s">
        <v>66</v>
      </c>
      <c r="B12" s="9" t="s">
        <v>65</v>
      </c>
      <c r="C12" t="s">
        <v>88</v>
      </c>
    </row>
    <row r="13" spans="1:23">
      <c r="A13" s="9" t="s">
        <v>79</v>
      </c>
      <c r="B13" s="9" t="s">
        <v>78</v>
      </c>
      <c r="C13" t="s">
        <v>89</v>
      </c>
    </row>
    <row r="14" spans="1:23">
      <c r="A14" s="9" t="s">
        <v>179</v>
      </c>
      <c r="B14" t="s">
        <v>91</v>
      </c>
      <c r="C14" t="s">
        <v>92</v>
      </c>
    </row>
    <row r="15" spans="1:23">
      <c r="A15" s="9" t="s">
        <v>180</v>
      </c>
      <c r="B15" t="s">
        <v>93</v>
      </c>
      <c r="C15" t="s">
        <v>158</v>
      </c>
    </row>
    <row r="16" spans="1:23">
      <c r="A16" s="9" t="s">
        <v>43</v>
      </c>
      <c r="B16" t="s">
        <v>94</v>
      </c>
      <c r="C16" t="s">
        <v>95</v>
      </c>
    </row>
    <row r="17" spans="1:9">
      <c r="A17" s="9" t="s">
        <v>43</v>
      </c>
      <c r="B17" t="s">
        <v>96</v>
      </c>
      <c r="C17" t="s">
        <v>97</v>
      </c>
    </row>
    <row r="18" spans="1:9">
      <c r="A18" s="9" t="s">
        <v>46</v>
      </c>
      <c r="B18" t="s">
        <v>160</v>
      </c>
      <c r="C18" t="s">
        <v>159</v>
      </c>
      <c r="F18" s="9" t="s">
        <v>161</v>
      </c>
    </row>
    <row r="19" spans="1:9">
      <c r="A19" s="9" t="s">
        <v>44</v>
      </c>
      <c r="B19" t="s">
        <v>98</v>
      </c>
      <c r="C19" t="s">
        <v>99</v>
      </c>
    </row>
    <row r="20" spans="1:9">
      <c r="A20" s="9" t="s">
        <v>42</v>
      </c>
      <c r="B20" t="s">
        <v>100</v>
      </c>
      <c r="C20" t="s">
        <v>181</v>
      </c>
      <c r="H20" s="20"/>
      <c r="I20" s="20" t="s">
        <v>162</v>
      </c>
    </row>
    <row r="21" spans="1:9">
      <c r="A21" s="9" t="s">
        <v>43</v>
      </c>
      <c r="B21" t="s">
        <v>101</v>
      </c>
      <c r="C21" t="s">
        <v>182</v>
      </c>
      <c r="H21" s="20"/>
      <c r="I21" s="20" t="s">
        <v>162</v>
      </c>
    </row>
    <row r="22" spans="1:9">
      <c r="A22" s="9" t="s">
        <v>44</v>
      </c>
      <c r="B22" t="s">
        <v>102</v>
      </c>
      <c r="C22" t="s">
        <v>190</v>
      </c>
      <c r="H22" s="20"/>
      <c r="I22" s="20" t="s">
        <v>162</v>
      </c>
    </row>
    <row r="23" spans="1:9">
      <c r="A23" s="9" t="s">
        <v>55</v>
      </c>
      <c r="B23" t="s">
        <v>103</v>
      </c>
      <c r="C23" t="s">
        <v>183</v>
      </c>
      <c r="H23" s="20"/>
      <c r="I23" s="20" t="s">
        <v>162</v>
      </c>
    </row>
    <row r="24" spans="1:9">
      <c r="A24" s="9" t="s">
        <v>43</v>
      </c>
      <c r="B24" t="s">
        <v>104</v>
      </c>
      <c r="C24" t="s">
        <v>184</v>
      </c>
      <c r="H24" s="20"/>
      <c r="I24" s="20" t="s">
        <v>162</v>
      </c>
    </row>
    <row r="25" spans="1:9">
      <c r="A25" s="9" t="s">
        <v>42</v>
      </c>
      <c r="B25" t="s">
        <v>105</v>
      </c>
      <c r="C25" t="s">
        <v>185</v>
      </c>
      <c r="H25" s="20"/>
      <c r="I25" s="20" t="s">
        <v>162</v>
      </c>
    </row>
    <row r="26" spans="1:9">
      <c r="A26" s="9" t="s">
        <v>42</v>
      </c>
      <c r="B26" t="s">
        <v>106</v>
      </c>
      <c r="C26" t="s">
        <v>191</v>
      </c>
      <c r="H26" s="20"/>
      <c r="I26" s="20" t="s">
        <v>163</v>
      </c>
    </row>
    <row r="27" spans="1:9">
      <c r="A27" s="9" t="s">
        <v>42</v>
      </c>
      <c r="B27" t="s">
        <v>107</v>
      </c>
      <c r="C27" t="s">
        <v>186</v>
      </c>
      <c r="H27" s="20"/>
      <c r="I27" s="20" t="s">
        <v>163</v>
      </c>
    </row>
    <row r="28" spans="1:9">
      <c r="A28" s="9" t="s">
        <v>44</v>
      </c>
      <c r="B28" t="s">
        <v>108</v>
      </c>
      <c r="C28" t="s">
        <v>187</v>
      </c>
      <c r="H28" s="20"/>
      <c r="I28" s="20" t="s">
        <v>163</v>
      </c>
    </row>
    <row r="29" spans="1:9">
      <c r="A29" s="9" t="s">
        <v>44</v>
      </c>
      <c r="B29" t="s">
        <v>109</v>
      </c>
      <c r="C29" t="s">
        <v>188</v>
      </c>
      <c r="H29" s="20"/>
      <c r="I29" s="20" t="s">
        <v>163</v>
      </c>
    </row>
    <row r="30" spans="1:9">
      <c r="A30" s="9" t="s">
        <v>43</v>
      </c>
      <c r="B30" t="s">
        <v>110</v>
      </c>
      <c r="C30" t="s">
        <v>189</v>
      </c>
      <c r="H30" s="20"/>
      <c r="I30" s="20" t="s">
        <v>163</v>
      </c>
    </row>
    <row r="31" spans="1:9">
      <c r="A31" s="9" t="s">
        <v>43</v>
      </c>
      <c r="B31" t="s">
        <v>111</v>
      </c>
      <c r="C31" t="s">
        <v>192</v>
      </c>
    </row>
    <row r="32" spans="1:9">
      <c r="A32" s="9" t="s">
        <v>43</v>
      </c>
      <c r="B32" t="s">
        <v>112</v>
      </c>
      <c r="C32" t="s">
        <v>193</v>
      </c>
    </row>
    <row r="33" spans="1:9">
      <c r="A33" s="9" t="s">
        <v>43</v>
      </c>
      <c r="B33" t="s">
        <v>164</v>
      </c>
      <c r="C33" t="s">
        <v>113</v>
      </c>
    </row>
    <row r="34" spans="1:9">
      <c r="A34" s="9" t="s">
        <v>43</v>
      </c>
      <c r="B34" t="s">
        <v>114</v>
      </c>
      <c r="C34" t="s">
        <v>115</v>
      </c>
    </row>
    <row r="35" spans="1:9">
      <c r="A35" s="9" t="s">
        <v>43</v>
      </c>
      <c r="B35" t="s">
        <v>116</v>
      </c>
      <c r="C35" t="s">
        <v>194</v>
      </c>
    </row>
    <row r="36" spans="1:9">
      <c r="A36" s="9" t="s">
        <v>42</v>
      </c>
      <c r="B36" t="s">
        <v>166</v>
      </c>
      <c r="C36" t="s">
        <v>165</v>
      </c>
    </row>
    <row r="37" spans="1:9">
      <c r="A37" s="9" t="s">
        <v>42</v>
      </c>
      <c r="B37" t="s">
        <v>117</v>
      </c>
      <c r="C37" t="s">
        <v>118</v>
      </c>
    </row>
    <row r="38" spans="1:9">
      <c r="A38" s="9" t="s">
        <v>43</v>
      </c>
      <c r="B38" t="s">
        <v>119</v>
      </c>
      <c r="C38" t="s">
        <v>120</v>
      </c>
    </row>
    <row r="39" spans="1:9">
      <c r="A39" s="9" t="s">
        <v>43</v>
      </c>
      <c r="B39" t="s">
        <v>121</v>
      </c>
      <c r="C39" t="s">
        <v>122</v>
      </c>
    </row>
    <row r="40" spans="1:9">
      <c r="A40" s="9" t="s">
        <v>43</v>
      </c>
      <c r="B40" t="s">
        <v>123</v>
      </c>
      <c r="C40" t="s">
        <v>124</v>
      </c>
    </row>
    <row r="41" spans="1:9">
      <c r="A41" s="9" t="s">
        <v>42</v>
      </c>
      <c r="B41" t="s">
        <v>125</v>
      </c>
      <c r="C41" t="s">
        <v>126</v>
      </c>
    </row>
    <row r="42" spans="1:9">
      <c r="A42" s="9" t="s">
        <v>39</v>
      </c>
      <c r="B42" t="s">
        <v>176</v>
      </c>
      <c r="C42" t="s">
        <v>127</v>
      </c>
      <c r="I42" s="9" t="s">
        <v>195</v>
      </c>
    </row>
    <row r="43" spans="1:9">
      <c r="A43" s="9" t="s">
        <v>24</v>
      </c>
      <c r="B43" t="s">
        <v>128</v>
      </c>
      <c r="C43" t="s">
        <v>129</v>
      </c>
      <c r="I43" s="9" t="s">
        <v>195</v>
      </c>
    </row>
    <row r="44" spans="1:9">
      <c r="A44" s="9" t="s">
        <v>24</v>
      </c>
      <c r="B44" t="s">
        <v>130</v>
      </c>
      <c r="C44" t="s">
        <v>167</v>
      </c>
      <c r="I44" s="9" t="s">
        <v>195</v>
      </c>
    </row>
    <row r="45" spans="1:9">
      <c r="A45" s="9" t="s">
        <v>24</v>
      </c>
      <c r="B45" t="s">
        <v>131</v>
      </c>
      <c r="C45" t="s">
        <v>168</v>
      </c>
      <c r="I45" s="9" t="s">
        <v>195</v>
      </c>
    </row>
    <row r="46" spans="1:9">
      <c r="A46" s="9" t="s">
        <v>24</v>
      </c>
      <c r="B46" t="s">
        <v>132</v>
      </c>
      <c r="C46" t="s">
        <v>169</v>
      </c>
      <c r="I46" s="9" t="s">
        <v>195</v>
      </c>
    </row>
    <row r="47" spans="1:9">
      <c r="A47" s="9" t="s">
        <v>24</v>
      </c>
      <c r="B47" t="s">
        <v>133</v>
      </c>
      <c r="C47" t="s">
        <v>170</v>
      </c>
      <c r="I47" s="9" t="s">
        <v>195</v>
      </c>
    </row>
    <row r="48" spans="1:9">
      <c r="A48" s="9" t="s">
        <v>24</v>
      </c>
      <c r="B48" t="s">
        <v>134</v>
      </c>
      <c r="C48" t="s">
        <v>171</v>
      </c>
      <c r="I48" s="9" t="s">
        <v>195</v>
      </c>
    </row>
    <row r="49" spans="1:9">
      <c r="A49" s="9" t="s">
        <v>24</v>
      </c>
      <c r="B49" t="s">
        <v>135</v>
      </c>
      <c r="C49" t="s">
        <v>172</v>
      </c>
      <c r="I49" s="9" t="s">
        <v>195</v>
      </c>
    </row>
    <row r="50" spans="1:9">
      <c r="A50" s="9" t="s">
        <v>24</v>
      </c>
      <c r="B50" t="s">
        <v>136</v>
      </c>
      <c r="C50" t="s">
        <v>173</v>
      </c>
      <c r="I50" s="9" t="s">
        <v>195</v>
      </c>
    </row>
    <row r="51" spans="1:9">
      <c r="A51" s="9" t="s">
        <v>24</v>
      </c>
      <c r="B51" t="s">
        <v>137</v>
      </c>
      <c r="C51" t="s">
        <v>174</v>
      </c>
      <c r="I51" s="9" t="s">
        <v>195</v>
      </c>
    </row>
    <row r="52" spans="1:9">
      <c r="A52" s="9" t="s">
        <v>24</v>
      </c>
      <c r="B52" t="s">
        <v>138</v>
      </c>
      <c r="C52" t="s">
        <v>175</v>
      </c>
      <c r="I52" s="9" t="s">
        <v>195</v>
      </c>
    </row>
    <row r="53" spans="1:9">
      <c r="A53" s="9" t="s">
        <v>43</v>
      </c>
      <c r="B53" t="s">
        <v>139</v>
      </c>
      <c r="C53" t="s">
        <v>140</v>
      </c>
    </row>
    <row r="54" spans="1:9">
      <c r="C54"/>
    </row>
    <row r="55" spans="1:9">
      <c r="C55"/>
    </row>
    <row r="56" spans="1:9" ht="21" customHeight="1">
      <c r="B56" s="19"/>
      <c r="C56" s="19"/>
    </row>
    <row r="64" spans="1:9">
      <c r="B64" s="2"/>
    </row>
    <row r="65" spans="2:2">
      <c r="B65" s="2"/>
    </row>
    <row r="66" spans="2:2">
      <c r="B66" s="2"/>
    </row>
    <row r="67" spans="2:2">
      <c r="B67" s="2"/>
    </row>
  </sheetData>
  <sheetProtection selectLockedCells="1" selectUnlockedCells="1"/>
  <phoneticPr fontId="1" type="noConversion"/>
  <conditionalFormatting sqref="B1:C10 I1:I10 F1:F10 B13:C13 F13:F1048576 I13:I19 B54:C1048576 I31:I1048576">
    <cfRule type="expression" dxfId="77" priority="7014" stopIfTrue="1">
      <formula>$A1="begin group"</formula>
    </cfRule>
  </conditionalFormatting>
  <conditionalFormatting sqref="B1:C10 I1:I10 O1:O10 B13:C13 O13:O1048576 I13:I19 B54:C1048576 I31:I1048576">
    <cfRule type="expression" dxfId="76" priority="7011" stopIfTrue="1">
      <formula>$A1="begin repeat"</formula>
    </cfRule>
  </conditionalFormatting>
  <conditionalFormatting sqref="B1:D10 F1:F10 B13:D13 D14:D53 F13:F1048576 B54:D1048576">
    <cfRule type="expression" dxfId="75" priority="7008" stopIfTrue="1">
      <formula>$A1="text"</formula>
    </cfRule>
  </conditionalFormatting>
  <conditionalFormatting sqref="B1:D10 G1:H10 B13:D13 G13:H19 D14:D53 G20:G30 B54:D1048576 G31:H1048576">
    <cfRule type="expression" dxfId="74" priority="7006" stopIfTrue="1">
      <formula>$A1="integer"</formula>
    </cfRule>
  </conditionalFormatting>
  <conditionalFormatting sqref="B1:D10 G1:H10 B13:D13 G13:H19 D14:D53 G20:G30 B54:D1048576 G31:H1048576">
    <cfRule type="expression" dxfId="73" priority="7004" stopIfTrue="1">
      <formula>$A1="decimal"</formula>
    </cfRule>
  </conditionalFormatting>
  <conditionalFormatting sqref="B1:C10 F1:F10 B13:C13 F13:F1048576 B54:C1048576">
    <cfRule type="expression" dxfId="72" priority="6999" stopIfTrue="1">
      <formula>OR(AND(LEFT($A1, 16)="select_multiple ", LEN($A1)&gt;16, NOT(ISNUMBER(SEARCH(" ", $A1, 17)))), AND(LEFT($A1, 11)="select_one ", LEN($A1)&gt;11, NOT(ISNUMBER(SEARCH(" ", $A1, 12)))))</formula>
    </cfRule>
  </conditionalFormatting>
  <conditionalFormatting sqref="B1:B10 F1:F10 B13 C56 F13:F1048576 B54:B1048576">
    <cfRule type="expression" dxfId="71" priority="6989" stopIfTrue="1">
      <formula>OR($A1="audio audit", $A1="text audit", $A1="speed violations count", $A1="speed violations list", $A1="speed violations audit")</formula>
    </cfRule>
  </conditionalFormatting>
  <conditionalFormatting sqref="B1:C8 B9 B10:C10 B13:C13 B54:C1048576">
    <cfRule type="expression" dxfId="70" priority="6983" stopIfTrue="1">
      <formula>$A1="note"</formula>
    </cfRule>
    <cfRule type="expression" dxfId="69" priority="6985" stopIfTrue="1">
      <formula>$A1="barcode"</formula>
    </cfRule>
    <cfRule type="expression" dxfId="68" priority="6987" stopIfTrue="1">
      <formula>OR($A1="geopoint", $A1="geoshape", $A1="geotrace")</formula>
    </cfRule>
  </conditionalFormatting>
  <conditionalFormatting sqref="B1:B10 N1:N10 B13 C56 N13:N1048576 B54:B1048576">
    <cfRule type="expression" dxfId="67" priority="6981" stopIfTrue="1">
      <formula>OR($A1="calculate", $A1="calculate_here")</formula>
    </cfRule>
  </conditionalFormatting>
  <conditionalFormatting sqref="B1:C10 F1:F10 B13:C13 F13:F1048576 B54:C1048576">
    <cfRule type="expression" dxfId="66" priority="6979" stopIfTrue="1">
      <formula>OR($A1="date", $A1="datetime")</formula>
    </cfRule>
  </conditionalFormatting>
  <conditionalFormatting sqref="B1:C10 F1:F10 B13:C13 F13:F1048576 B54:C1048576">
    <cfRule type="expression" dxfId="65" priority="6975" stopIfTrue="1">
      <formula>$A1="image"</formula>
    </cfRule>
  </conditionalFormatting>
  <conditionalFormatting sqref="B1:C10 B13:C13 B54:C1048576">
    <cfRule type="expression" dxfId="64" priority="6973" stopIfTrue="1">
      <formula>OR($A1="audio", $A1="video")</formula>
    </cfRule>
  </conditionalFormatting>
  <conditionalFormatting sqref="A1:V8 A9:B9 D9:V9 A10:V10 A13:V13 D14:V19 D20:G30 J20:V30 A14:A53 A54:V1048576 D31:V53">
    <cfRule type="expression" dxfId="63" priority="6974" stopIfTrue="1">
      <formula>OR($A1="audio", $A1="video")</formula>
    </cfRule>
    <cfRule type="expression" dxfId="62" priority="6976" stopIfTrue="1">
      <formula>$A1="image"</formula>
    </cfRule>
    <cfRule type="expression" dxfId="61" priority="6980" stopIfTrue="1">
      <formula>OR($A1="date", $A1="datetime")</formula>
    </cfRule>
    <cfRule type="expression" dxfId="60" priority="6982" stopIfTrue="1">
      <formula>OR($A1="calculate", $A1="calculate_here")</formula>
    </cfRule>
    <cfRule type="expression" dxfId="59" priority="6984" stopIfTrue="1">
      <formula>$A1="note"</formula>
    </cfRule>
    <cfRule type="expression" dxfId="58" priority="6986" stopIfTrue="1">
      <formula>$A1="barcode"</formula>
    </cfRule>
    <cfRule type="expression" dxfId="57" priority="6988" stopIfTrue="1">
      <formula>OR($A1="geopoint", $A1="geoshape", $A1="geotrace")</formula>
    </cfRule>
    <cfRule type="expression" dxfId="56" priority="6990" stopIfTrue="1">
      <formula>OR($A1="audio audit", $A1="text audit", $A1="speed violations count", $A1="speed violations list", $A1="speed violations audit")</formula>
    </cfRule>
    <cfRule type="expression" dxfId="55" priority="6993" stopIfTrue="1">
      <formula>OR($A1="username", $A1="phonenumber", $A1="start", $A1="end", $A1="deviceid", $A1="subscriberid", $A1="simserial", $A1="caseid")</formula>
    </cfRule>
    <cfRule type="expression" dxfId="54" priority="7000" stopIfTrue="1">
      <formula>OR(AND(LEFT($A1, 16)="select_multiple ", LEN($A1)&gt;16, NOT(ISNUMBER(SEARCH(" ", $A1, 17)))), AND(LEFT($A1, 11)="select_one ", LEN($A1)&gt;11, NOT(ISNUMBER(SEARCH(" ", $A1, 12)))))</formula>
    </cfRule>
    <cfRule type="expression" dxfId="53" priority="7005" stopIfTrue="1">
      <formula>$A1="decimal"</formula>
    </cfRule>
    <cfRule type="expression" dxfId="52" priority="7007" stopIfTrue="1">
      <formula>$A1="integer"</formula>
    </cfRule>
    <cfRule type="expression" dxfId="51" priority="7009" stopIfTrue="1">
      <formula>$A1="text"</formula>
    </cfRule>
    <cfRule type="expression" dxfId="50" priority="7010" stopIfTrue="1">
      <formula>$A1="end repeat"</formula>
    </cfRule>
    <cfRule type="expression" dxfId="49" priority="7012" stopIfTrue="1">
      <formula>$A1="begin repeat"</formula>
    </cfRule>
    <cfRule type="expression" dxfId="48" priority="7013" stopIfTrue="1">
      <formula>$A1="end group"</formula>
    </cfRule>
    <cfRule type="expression" dxfId="47" priority="7015" stopIfTrue="1">
      <formula>$A1="begin group"</formula>
    </cfRule>
  </conditionalFormatting>
  <conditionalFormatting sqref="C9">
    <cfRule type="expression" dxfId="46" priority="6949" stopIfTrue="1">
      <formula>$A9="note"</formula>
    </cfRule>
    <cfRule type="expression" dxfId="45" priority="6951" stopIfTrue="1">
      <formula>$A9="barcode"</formula>
    </cfRule>
    <cfRule type="expression" dxfId="44" priority="6953" stopIfTrue="1">
      <formula>$A9="geopoint"</formula>
    </cfRule>
  </conditionalFormatting>
  <conditionalFormatting sqref="C13 C54:C55">
    <cfRule type="expression" dxfId="43" priority="81" stopIfTrue="1">
      <formula>$A13="note"</formula>
    </cfRule>
    <cfRule type="expression" dxfId="42" priority="82" stopIfTrue="1">
      <formula>$A13="barcode"</formula>
    </cfRule>
    <cfRule type="expression" dxfId="41" priority="83" stopIfTrue="1">
      <formula>$A13="geopoint"</formula>
    </cfRule>
  </conditionalFormatting>
  <conditionalFormatting sqref="B11:C12 F11:F12 I11:I12">
    <cfRule type="expression" dxfId="40" priority="33" stopIfTrue="1">
      <formula>$A11="begin group"</formula>
    </cfRule>
  </conditionalFormatting>
  <conditionalFormatting sqref="B11:C12 O11:O12 I11:I12">
    <cfRule type="expression" dxfId="39" priority="30" stopIfTrue="1">
      <formula>$A11="begin repeat"</formula>
    </cfRule>
  </conditionalFormatting>
  <conditionalFormatting sqref="B11:D12 F11:F12">
    <cfRule type="expression" dxfId="38" priority="27" stopIfTrue="1">
      <formula>$A11="text"</formula>
    </cfRule>
  </conditionalFormatting>
  <conditionalFormatting sqref="B11:D12 G11:H12">
    <cfRule type="expression" dxfId="37" priority="25" stopIfTrue="1">
      <formula>$A11="integer"</formula>
    </cfRule>
  </conditionalFormatting>
  <conditionalFormatting sqref="B11:D12 G11:H12">
    <cfRule type="expression" dxfId="36" priority="23" stopIfTrue="1">
      <formula>$A11="decimal"</formula>
    </cfRule>
  </conditionalFormatting>
  <conditionalFormatting sqref="B11:C12 F11:F12">
    <cfRule type="expression" dxfId="35" priority="21" stopIfTrue="1">
      <formula>OR(AND(LEFT($A11, 16)="select_multiple ", LEN($A11)&gt;16, NOT(ISNUMBER(SEARCH(" ", $A11, 17)))), AND(LEFT($A11, 11)="select_one ", LEN($A11)&gt;11, NOT(ISNUMBER(SEARCH(" ", $A11, 12)))))</formula>
    </cfRule>
  </conditionalFormatting>
  <conditionalFormatting sqref="F11:F12 B11:B12">
    <cfRule type="expression" dxfId="34" priority="18" stopIfTrue="1">
      <formula>OR($A11="audio audit", $A11="text audit", $A11="speed violations count", $A11="speed violations list", $A11="speed violations audit")</formula>
    </cfRule>
  </conditionalFormatting>
  <conditionalFormatting sqref="B11:C12">
    <cfRule type="expression" dxfId="33" priority="12" stopIfTrue="1">
      <formula>$A11="note"</formula>
    </cfRule>
    <cfRule type="expression" dxfId="32" priority="14" stopIfTrue="1">
      <formula>$A11="barcode"</formula>
    </cfRule>
    <cfRule type="expression" dxfId="31" priority="16" stopIfTrue="1">
      <formula>OR($A11="geopoint", $A11="geoshape", $A11="geotrace")</formula>
    </cfRule>
  </conditionalFormatting>
  <conditionalFormatting sqref="N11:N12 B11:B12">
    <cfRule type="expression" dxfId="30" priority="10" stopIfTrue="1">
      <formula>OR($A11="calculate", $A11="calculate_here")</formula>
    </cfRule>
  </conditionalFormatting>
  <conditionalFormatting sqref="B11:C12 F11:F12">
    <cfRule type="expression" dxfId="29" priority="8" stopIfTrue="1">
      <formula>OR($A11="date", $A11="datetime")</formula>
    </cfRule>
  </conditionalFormatting>
  <conditionalFormatting sqref="B11:C12 F11:F12">
    <cfRule type="expression" dxfId="28" priority="6" stopIfTrue="1">
      <formula>$A11="image"</formula>
    </cfRule>
  </conditionalFormatting>
  <conditionalFormatting sqref="B11:C12">
    <cfRule type="expression" dxfId="27" priority="4" stopIfTrue="1">
      <formula>OR($A11="audio", $A11="video")</formula>
    </cfRule>
  </conditionalFormatting>
  <conditionalFormatting sqref="A11:V12">
    <cfRule type="expression" dxfId="26" priority="5" stopIfTrue="1">
      <formula>OR($A11="audio", $A11="video")</formula>
    </cfRule>
    <cfRule type="expression" dxfId="25" priority="7" stopIfTrue="1">
      <formula>$A11="image"</formula>
    </cfRule>
    <cfRule type="expression" dxfId="24" priority="9" stopIfTrue="1">
      <formula>OR($A11="date", $A11="datetime")</formula>
    </cfRule>
    <cfRule type="expression" dxfId="23" priority="11" stopIfTrue="1">
      <formula>OR($A11="calculate", $A11="calculate_here")</formula>
    </cfRule>
    <cfRule type="expression" dxfId="22" priority="13" stopIfTrue="1">
      <formula>$A11="note"</formula>
    </cfRule>
    <cfRule type="expression" dxfId="21" priority="15" stopIfTrue="1">
      <formula>$A11="barcode"</formula>
    </cfRule>
    <cfRule type="expression" dxfId="20" priority="17" stopIfTrue="1">
      <formula>OR($A11="geopoint", $A11="geoshape", $A11="geotrace")</formula>
    </cfRule>
    <cfRule type="expression" dxfId="19" priority="19" stopIfTrue="1">
      <formula>OR($A11="audio audit", $A11="text audit", $A11="speed violations count", $A11="speed violations list", $A11="speed violations audit")</formula>
    </cfRule>
    <cfRule type="expression" dxfId="18" priority="20" stopIfTrue="1">
      <formula>OR($A11="username", $A11="phonenumber", $A11="start", $A11="end", $A11="deviceid", $A11="subscriberid", $A11="simserial", $A11="caseid")</formula>
    </cfRule>
    <cfRule type="expression" dxfId="17" priority="22" stopIfTrue="1">
      <formula>OR(AND(LEFT($A11, 16)="select_multiple ", LEN($A11)&gt;16, NOT(ISNUMBER(SEARCH(" ", $A11, 17)))), AND(LEFT($A11, 11)="select_one ", LEN($A11)&gt;11, NOT(ISNUMBER(SEARCH(" ", $A11, 12)))))</formula>
    </cfRule>
    <cfRule type="expression" dxfId="16" priority="24" stopIfTrue="1">
      <formula>$A11="decimal"</formula>
    </cfRule>
    <cfRule type="expression" dxfId="15" priority="26" stopIfTrue="1">
      <formula>$A11="integer"</formula>
    </cfRule>
    <cfRule type="expression" dxfId="14" priority="28" stopIfTrue="1">
      <formula>$A11="text"</formula>
    </cfRule>
    <cfRule type="expression" dxfId="13" priority="29" stopIfTrue="1">
      <formula>$A11="end repeat"</formula>
    </cfRule>
    <cfRule type="expression" dxfId="12" priority="31" stopIfTrue="1">
      <formula>$A11="begin repeat"</formula>
    </cfRule>
    <cfRule type="expression" dxfId="11" priority="32" stopIfTrue="1">
      <formula>$A11="end group"</formula>
    </cfRule>
    <cfRule type="expression" dxfId="10" priority="34" stopIfTrue="1">
      <formula>$A11="begin group"</formula>
    </cfRule>
  </conditionalFormatting>
  <conditionalFormatting sqref="C11:C12">
    <cfRule type="expression" dxfId="9" priority="1" stopIfTrue="1">
      <formula>$A11="note"</formula>
    </cfRule>
    <cfRule type="expression" dxfId="8" priority="2" stopIfTrue="1">
      <formula>$A11="barcode"</formula>
    </cfRule>
    <cfRule type="expression" dxfId="7" priority="3" stopIfTrue="1">
      <formula>$A11="geopoint"</formula>
    </cfRule>
  </conditionalFormatting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zoomScale="145" zoomScaleNormal="145" zoomScalePageLayoutView="75" workbookViewId="0">
      <pane ySplit="1" topLeftCell="A16" activePane="bottomLeft" state="frozen"/>
      <selection pane="bottomLeft" activeCell="A21" sqref="A21"/>
    </sheetView>
  </sheetViews>
  <sheetFormatPr defaultColWidth="10.83203125" defaultRowHeight="15.5"/>
  <cols>
    <col min="1" max="1" width="15.5" style="15" bestFit="1" customWidth="1"/>
    <col min="2" max="2" width="9.25" style="15" customWidth="1"/>
    <col min="3" max="3" width="39.58203125" style="15" customWidth="1"/>
    <col min="4" max="5" width="10.83203125" style="15"/>
    <col min="6" max="16384" width="10.83203125" style="1"/>
  </cols>
  <sheetData>
    <row r="1" spans="1:9" s="3" customFormat="1" ht="18" customHeight="1">
      <c r="A1" s="12" t="s">
        <v>23</v>
      </c>
      <c r="B1" s="12" t="s">
        <v>49</v>
      </c>
      <c r="C1" s="13" t="s">
        <v>22</v>
      </c>
      <c r="D1" s="12" t="s">
        <v>24</v>
      </c>
      <c r="E1" s="12"/>
    </row>
    <row r="2" spans="1:9">
      <c r="A2" s="16" t="s">
        <v>27</v>
      </c>
      <c r="B2" s="15">
        <v>1</v>
      </c>
      <c r="C2" s="16" t="s">
        <v>28</v>
      </c>
    </row>
    <row r="3" spans="1:9">
      <c r="A3" s="16" t="s">
        <v>27</v>
      </c>
      <c r="B3" s="15">
        <v>0</v>
      </c>
      <c r="C3" s="16" t="s">
        <v>29</v>
      </c>
    </row>
    <row r="4" spans="1:9">
      <c r="A4" s="16" t="s">
        <v>27</v>
      </c>
      <c r="B4" s="15">
        <v>97</v>
      </c>
      <c r="C4" s="16" t="s">
        <v>58</v>
      </c>
    </row>
    <row r="5" spans="1:9">
      <c r="A5" s="16" t="s">
        <v>27</v>
      </c>
      <c r="B5" s="15">
        <v>99</v>
      </c>
      <c r="C5" s="16" t="s">
        <v>143</v>
      </c>
    </row>
    <row r="6" spans="1:9">
      <c r="A6" s="16" t="s">
        <v>53</v>
      </c>
      <c r="B6" s="15">
        <v>10</v>
      </c>
      <c r="C6" s="16" t="s">
        <v>61</v>
      </c>
    </row>
    <row r="7" spans="1:9">
      <c r="A7" s="16" t="s">
        <v>53</v>
      </c>
      <c r="B7" s="15">
        <v>11</v>
      </c>
      <c r="C7" s="16" t="s">
        <v>62</v>
      </c>
    </row>
    <row r="8" spans="1:9">
      <c r="A8" s="16" t="s">
        <v>53</v>
      </c>
      <c r="B8" s="15">
        <v>12</v>
      </c>
      <c r="C8" s="16" t="s">
        <v>141</v>
      </c>
    </row>
    <row r="9" spans="1:9">
      <c r="A9" s="16" t="s">
        <v>53</v>
      </c>
      <c r="B9" s="15">
        <v>13</v>
      </c>
      <c r="C9" s="16" t="s">
        <v>63</v>
      </c>
    </row>
    <row r="10" spans="1:9">
      <c r="A10" s="16" t="s">
        <v>53</v>
      </c>
      <c r="B10" s="15">
        <v>14</v>
      </c>
      <c r="C10" s="16" t="s">
        <v>142</v>
      </c>
    </row>
    <row r="11" spans="1:9">
      <c r="A11" s="16" t="s">
        <v>53</v>
      </c>
      <c r="B11" s="15">
        <v>15</v>
      </c>
      <c r="C11" s="16" t="s">
        <v>64</v>
      </c>
      <c r="H11"/>
      <c r="I11"/>
    </row>
    <row r="12" spans="1:9">
      <c r="A12" s="16" t="s">
        <v>53</v>
      </c>
      <c r="B12" s="15">
        <v>32</v>
      </c>
      <c r="C12" s="16" t="s">
        <v>85</v>
      </c>
      <c r="H12"/>
      <c r="I12"/>
    </row>
    <row r="13" spans="1:9">
      <c r="A13" s="16" t="s">
        <v>53</v>
      </c>
      <c r="B13" s="15">
        <v>88</v>
      </c>
      <c r="C13" s="16" t="s">
        <v>54</v>
      </c>
    </row>
    <row r="14" spans="1:9">
      <c r="A14" s="16" t="s">
        <v>144</v>
      </c>
      <c r="B14" s="15">
        <v>1</v>
      </c>
      <c r="C14" s="16" t="s">
        <v>146</v>
      </c>
    </row>
    <row r="15" spans="1:9">
      <c r="A15" s="16" t="s">
        <v>144</v>
      </c>
      <c r="B15" s="15">
        <v>2</v>
      </c>
      <c r="C15" s="16" t="s">
        <v>147</v>
      </c>
    </row>
    <row r="16" spans="1:9">
      <c r="A16" s="16" t="s">
        <v>144</v>
      </c>
      <c r="B16" s="15">
        <v>3</v>
      </c>
      <c r="C16" s="16" t="s">
        <v>148</v>
      </c>
    </row>
    <row r="17" spans="1:3">
      <c r="A17" s="16" t="s">
        <v>144</v>
      </c>
      <c r="B17" s="15">
        <v>4</v>
      </c>
      <c r="C17" s="16" t="s">
        <v>149</v>
      </c>
    </row>
    <row r="18" spans="1:3">
      <c r="A18" s="16" t="s">
        <v>144</v>
      </c>
      <c r="B18" s="15">
        <v>5</v>
      </c>
      <c r="C18" s="16" t="s">
        <v>150</v>
      </c>
    </row>
    <row r="19" spans="1:3">
      <c r="A19" s="16" t="s">
        <v>144</v>
      </c>
      <c r="B19" s="15">
        <v>6</v>
      </c>
      <c r="C19" s="16" t="s">
        <v>151</v>
      </c>
    </row>
    <row r="20" spans="1:3">
      <c r="A20" s="16" t="s">
        <v>144</v>
      </c>
      <c r="B20" s="15">
        <v>7</v>
      </c>
      <c r="C20" s="16" t="s">
        <v>152</v>
      </c>
    </row>
    <row r="21" spans="1:3">
      <c r="A21" s="16" t="s">
        <v>144</v>
      </c>
      <c r="B21" s="15">
        <v>8</v>
      </c>
      <c r="C21" s="16" t="s">
        <v>153</v>
      </c>
    </row>
    <row r="22" spans="1:3">
      <c r="A22" s="16" t="s">
        <v>144</v>
      </c>
      <c r="B22" s="15">
        <v>9</v>
      </c>
      <c r="C22" s="16" t="s">
        <v>154</v>
      </c>
    </row>
    <row r="23" spans="1:3">
      <c r="A23" s="16" t="s">
        <v>144</v>
      </c>
      <c r="B23" s="15">
        <v>10</v>
      </c>
      <c r="C23" s="16" t="s">
        <v>155</v>
      </c>
    </row>
    <row r="24" spans="1:3">
      <c r="A24" s="16" t="s">
        <v>144</v>
      </c>
      <c r="B24" s="15">
        <v>11</v>
      </c>
      <c r="C24" s="16" t="s">
        <v>156</v>
      </c>
    </row>
    <row r="25" spans="1:3">
      <c r="A25" s="16" t="s">
        <v>144</v>
      </c>
      <c r="B25" s="15">
        <v>12</v>
      </c>
      <c r="C25" s="16" t="s">
        <v>157</v>
      </c>
    </row>
    <row r="26" spans="1:3">
      <c r="A26" s="16" t="s">
        <v>145</v>
      </c>
      <c r="B26" s="15">
        <v>2018</v>
      </c>
      <c r="C26" s="16">
        <v>2018</v>
      </c>
    </row>
    <row r="27" spans="1:3">
      <c r="A27" s="16" t="s">
        <v>145</v>
      </c>
      <c r="B27" s="15">
        <v>2019</v>
      </c>
      <c r="C27" s="16">
        <v>2019</v>
      </c>
    </row>
    <row r="28" spans="1:3">
      <c r="A28" s="16" t="s">
        <v>56</v>
      </c>
      <c r="B28" s="15">
        <v>0</v>
      </c>
      <c r="C28" s="16" t="s">
        <v>59</v>
      </c>
    </row>
    <row r="29" spans="1:3">
      <c r="A29" s="16" t="s">
        <v>56</v>
      </c>
      <c r="B29" s="15">
        <v>1</v>
      </c>
      <c r="C29" s="16" t="s">
        <v>60</v>
      </c>
    </row>
    <row r="30" spans="1:3">
      <c r="A30" s="16" t="s">
        <v>67</v>
      </c>
      <c r="B30" s="15">
        <v>1</v>
      </c>
      <c r="C30" s="16" t="s">
        <v>68</v>
      </c>
    </row>
    <row r="31" spans="1:3">
      <c r="A31" s="16" t="s">
        <v>67</v>
      </c>
      <c r="B31" s="15">
        <v>2</v>
      </c>
      <c r="C31" s="16" t="s">
        <v>69</v>
      </c>
    </row>
    <row r="32" spans="1:3">
      <c r="A32" s="16" t="s">
        <v>67</v>
      </c>
      <c r="B32" s="15">
        <v>3</v>
      </c>
      <c r="C32" s="16" t="s">
        <v>70</v>
      </c>
    </row>
    <row r="33" spans="1:3">
      <c r="A33" s="16" t="s">
        <v>67</v>
      </c>
      <c r="B33" s="15">
        <v>4</v>
      </c>
      <c r="C33" s="16" t="s">
        <v>71</v>
      </c>
    </row>
    <row r="34" spans="1:3">
      <c r="A34" s="16" t="s">
        <v>67</v>
      </c>
      <c r="B34" s="15">
        <v>5</v>
      </c>
      <c r="C34" s="16" t="s">
        <v>72</v>
      </c>
    </row>
    <row r="35" spans="1:3">
      <c r="A35" s="16" t="s">
        <v>67</v>
      </c>
      <c r="B35" s="15">
        <v>6</v>
      </c>
      <c r="C35" s="16" t="s">
        <v>73</v>
      </c>
    </row>
    <row r="36" spans="1:3">
      <c r="A36" s="16" t="s">
        <v>67</v>
      </c>
      <c r="B36" s="15">
        <v>7</v>
      </c>
      <c r="C36" s="16" t="s">
        <v>74</v>
      </c>
    </row>
    <row r="37" spans="1:3">
      <c r="A37" s="16" t="s">
        <v>67</v>
      </c>
      <c r="B37" s="15">
        <v>8</v>
      </c>
      <c r="C37" s="16" t="s">
        <v>75</v>
      </c>
    </row>
    <row r="38" spans="1:3">
      <c r="A38" s="16" t="s">
        <v>67</v>
      </c>
      <c r="B38" s="15">
        <v>9</v>
      </c>
      <c r="C38" s="16" t="s">
        <v>76</v>
      </c>
    </row>
    <row r="39" spans="1:3">
      <c r="A39" s="16" t="s">
        <v>67</v>
      </c>
      <c r="B39" s="15">
        <v>10</v>
      </c>
      <c r="C39" s="16" t="s">
        <v>77</v>
      </c>
    </row>
    <row r="40" spans="1:3">
      <c r="A40" s="16" t="s">
        <v>78</v>
      </c>
      <c r="B40" s="15">
        <v>0</v>
      </c>
      <c r="C40" s="16" t="s">
        <v>178</v>
      </c>
    </row>
    <row r="41" spans="1:3">
      <c r="A41" s="16" t="s">
        <v>78</v>
      </c>
      <c r="B41" s="15">
        <v>1</v>
      </c>
      <c r="C41" s="16" t="s">
        <v>80</v>
      </c>
    </row>
    <row r="42" spans="1:3">
      <c r="A42" s="16" t="s">
        <v>78</v>
      </c>
      <c r="B42" s="15">
        <v>2</v>
      </c>
      <c r="C42" s="16" t="s">
        <v>81</v>
      </c>
    </row>
    <row r="43" spans="1:3">
      <c r="A43" s="16" t="s">
        <v>78</v>
      </c>
      <c r="B43" s="15">
        <v>3</v>
      </c>
      <c r="C43" s="16" t="s">
        <v>82</v>
      </c>
    </row>
    <row r="44" spans="1:3">
      <c r="A44" s="16" t="s">
        <v>78</v>
      </c>
      <c r="B44" s="15">
        <v>4</v>
      </c>
      <c r="C44" s="16" t="s">
        <v>83</v>
      </c>
    </row>
    <row r="45" spans="1:3">
      <c r="A45" s="16" t="s">
        <v>78</v>
      </c>
      <c r="B45" s="15">
        <v>5</v>
      </c>
      <c r="C45" s="16" t="s">
        <v>84</v>
      </c>
    </row>
  </sheetData>
  <sheetProtection selectLockedCells="1" selectUnlockedCells="1"/>
  <phoneticPr fontId="1" type="noConversion"/>
  <conditionalFormatting sqref="A6:E11 A2:E2 D3:E3 A31:E31 A29:E29 A40:E1633 C33:E35 B34:B35 B37:B38 D36:E39 C37:C39 B32:E32 A33 A35 A37 A39">
    <cfRule type="expression" dxfId="6" priority="12">
      <formula>NOT($A2=$A1)</formula>
    </cfRule>
  </conditionalFormatting>
  <conditionalFormatting sqref="A13:E27">
    <cfRule type="expression" dxfId="5" priority="6815">
      <formula>NOT($A13=#REF!)</formula>
    </cfRule>
  </conditionalFormatting>
  <conditionalFormatting sqref="A4:E4">
    <cfRule type="expression" dxfId="4" priority="6897">
      <formula>NOT($A4=$A2)</formula>
    </cfRule>
  </conditionalFormatting>
  <conditionalFormatting sqref="A12:E12">
    <cfRule type="expression" dxfId="3" priority="7018">
      <formula>NOT($A12=#REF!)</formula>
    </cfRule>
  </conditionalFormatting>
  <conditionalFormatting sqref="A5:E5">
    <cfRule type="expression" dxfId="2" priority="7021">
      <formula>NOT($A5=$A2)</formula>
    </cfRule>
  </conditionalFormatting>
  <conditionalFormatting sqref="A28:E28 A30:E30 B33 B39 A32 A34 A36:C36 A38">
    <cfRule type="expression" dxfId="1" priority="7022">
      <formula>NOT($A28=#REF!)</formula>
    </cfRule>
  </conditionalFormatting>
  <conditionalFormatting sqref="A3:C3">
    <cfRule type="expression" dxfId="0" priority="7035">
      <formula>NOT($A3=$A1048218)</formula>
    </cfRule>
  </conditionalFormatting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B4" sqref="B4"/>
    </sheetView>
  </sheetViews>
  <sheetFormatPr defaultColWidth="8.83203125" defaultRowHeight="15.5"/>
  <cols>
    <col min="1" max="1" width="24" bestFit="1" customWidth="1"/>
    <col min="2" max="2" width="13.33203125" bestFit="1" customWidth="1"/>
    <col min="3" max="3" width="13.33203125" customWidth="1"/>
    <col min="4" max="4" width="27" customWidth="1"/>
    <col min="5" max="5" width="33" bestFit="1" customWidth="1"/>
    <col min="6" max="6" width="15.58203125" bestFit="1" customWidth="1"/>
  </cols>
  <sheetData>
    <row r="1" spans="1:8" s="3" customFormat="1" ht="18" customHeight="1">
      <c r="A1" s="12" t="s">
        <v>17</v>
      </c>
      <c r="B1" s="12" t="s">
        <v>18</v>
      </c>
      <c r="C1" s="13" t="s">
        <v>21</v>
      </c>
      <c r="D1" s="12" t="s">
        <v>19</v>
      </c>
      <c r="E1" s="12" t="s">
        <v>20</v>
      </c>
      <c r="F1" s="14" t="s">
        <v>25</v>
      </c>
      <c r="H1" s="4"/>
    </row>
    <row r="2" spans="1:8">
      <c r="A2" t="s">
        <v>90</v>
      </c>
      <c r="B2" t="s">
        <v>177</v>
      </c>
      <c r="C2" s="16" t="str">
        <f ca="1">TEXT(YEAR(NOW())-2000, "00") &amp; TEXT(MONTH(NOW()), "00") &amp; TEXT(DAY(NOW()), "00") &amp; TEXT(HOUR(NOW()), "00") &amp; TEXT(MINUTE(NOW()), "00")</f>
        <v>2401022054</v>
      </c>
      <c r="D2" s="17"/>
      <c r="E2" s="18"/>
      <c r="F2" s="16" t="s">
        <v>26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Marder</dc:creator>
  <cp:lastModifiedBy>Social Impact</cp:lastModifiedBy>
  <cp:revision>69</cp:revision>
  <cp:lastPrinted>1601-01-01T00:00:00Z</cp:lastPrinted>
  <dcterms:created xsi:type="dcterms:W3CDTF">2011-04-25T12:27:36Z</dcterms:created>
  <dcterms:modified xsi:type="dcterms:W3CDTF">2024-01-03T01:54:38Z</dcterms:modified>
</cp:coreProperties>
</file>